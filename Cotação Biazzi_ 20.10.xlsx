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iazzi _ Proposta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tc={405C5041-56E2-4080-8EE3-3102FAA47417}</author>
    <author>tc={4BC34C56-BE82-4392-9F0F-A03EC549CDF2}</author>
    <author>tc={AD4DB1E4-5ECB-46DE-8476-15B4544ECFE7}</author>
    <author>tc={B05DE0FA-332F-489E-81D8-1E7BD9D66734}</author>
    <author>tc={71C1B670-3F94-44D2-8DE6-0B3ECE872DB2}</author>
    <author>tc={34D8C36F-5CD2-454D-AB27-537826328F37}</author>
  </authors>
  <commentList>
    <comment ref="M27" authorId="0" xr:uid="{405C5041-56E2-4080-8EE3-3102FAA4741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Preço da proposta é por caixa 24x1L (MOBIL SUPER 3000 X3 5W40 24X1L); dividido por 24 para R$/L.
</t>
        </r>
      </text>
    </comment>
    <comment ref="M29" authorId="1" xr:uid="{4BC34C56-BE82-4392-9F0F-A03EC549CDF2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Preço da proposta é por caixa 24x1L (MOBIL SUPER 3000 5W30 24X1L); dividido por 24 para R$/L.
</t>
        </r>
      </text>
    </comment>
    <comment ref="M34" authorId="2" xr:uid="{AD4DB1E4-5ECB-46DE-8476-15B4544ECFE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Preço da proposta (R$ 1,798.00) sem unidade clara (caixa?); desconsiderado na comparação de 1 L.
</t>
        </r>
      </text>
    </comment>
    <comment ref="L46" authorId="3" xr:uid="{B05DE0FA-332F-489E-81D8-1E7BD9D6673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Fornecedor indicou 'Sem equivalente SAE 90 confirmado'. Preço informado na proposta (R$ 999.00) desconsiderado.
</t>
        </r>
      </text>
    </comment>
    <comment ref="L47" authorId="4" xr:uid="{71C1B670-3F94-44D2-8DE6-0B3ECE872DB2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Fornecedor indicou 'Sem equivalente SAE 90 confirmado'. Preço informado na proposta (R$ 7,999.00) desconsiderado.
</t>
        </r>
      </text>
    </comment>
    <comment ref="M8" authorId="5" xr:uid="{34D8C36F-5CD2-454D-AB27-537826328F3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Proposta trazia R$ 1,000.00 para 1000 L (≈ R$ 1/L): valor incorreto, desconsiderado.
</t>
        </r>
      </text>
    </comment>
  </commentList>
</comments>
</file>

<file path=xl/sharedStrings.xml><?xml version="1.0" encoding="utf-8"?>
<sst xmlns="http://schemas.openxmlformats.org/spreadsheetml/2006/main" count="62" uniqueCount="62">
  <si>
    <t xml:space="preserve">Cotação para 2 carretas - 65m³ - Podendo chegar a 3 carretas</t>
  </si>
  <si>
    <t>s</t>
  </si>
  <si>
    <t xml:space="preserve">IDEAL - PARA COLOCAR MARGEM</t>
  </si>
  <si>
    <t>Família</t>
  </si>
  <si>
    <t xml:space="preserve">Descrição atual (item da RFQ)</t>
  </si>
  <si>
    <t>Embalagem</t>
  </si>
  <si>
    <t>Litros</t>
  </si>
  <si>
    <t>Montana</t>
  </si>
  <si>
    <t>Petronas</t>
  </si>
  <si>
    <t>Vibra</t>
  </si>
  <si>
    <t>Shell</t>
  </si>
  <si>
    <t>Iconic</t>
  </si>
  <si>
    <t>Mobil</t>
  </si>
  <si>
    <t xml:space="preserve">Brida Mobil</t>
  </si>
  <si>
    <t xml:space="preserve">Motor – Diesel e Linha Pesada</t>
  </si>
  <si>
    <t xml:space="preserve">Óleo Lubrificante Automotivo Mineral 15W40 Granel ( sem aprovação)</t>
  </si>
  <si>
    <t xml:space="preserve">20 L</t>
  </si>
  <si>
    <t xml:space="preserve">200 L</t>
  </si>
  <si>
    <t xml:space="preserve">IBC 1000 L</t>
  </si>
  <si>
    <t xml:space="preserve">Óleo Lubrificante 15W40 New Holland</t>
  </si>
  <si>
    <t xml:space="preserve">Óleo Lubrificante Sintético 15W40 Extra Turbo</t>
  </si>
  <si>
    <t xml:space="preserve">Óleo Lubrificante Automotivo Mineral 20W50</t>
  </si>
  <si>
    <t xml:space="preserve">Óleo Lubrificante Automotivo Mineral SAE 30</t>
  </si>
  <si>
    <t xml:space="preserve">Óleo Lubrificante Automotivo Mineral SAE 50</t>
  </si>
  <si>
    <t xml:space="preserve">Motor – Frota Leve e Outros</t>
  </si>
  <si>
    <t xml:space="preserve">Óleo Lubrificante Automotivo Semissintético 10W30</t>
  </si>
  <si>
    <t xml:space="preserve">Óleo Lubrificante Automotivo Semissintético 10W40 (sem aprovação)</t>
  </si>
  <si>
    <t xml:space="preserve">Óleo Lubrificante Sintético 10W40</t>
  </si>
  <si>
    <t xml:space="preserve">Óleo Lubrificante Automotivo Sintético 5W40</t>
  </si>
  <si>
    <t xml:space="preserve">1 L</t>
  </si>
  <si>
    <t xml:space="preserve">Óleo Lubrificante Automotivo Sintético 5W30</t>
  </si>
  <si>
    <t xml:space="preserve">Óleo Lubrificante Sintético 0W30</t>
  </si>
  <si>
    <t xml:space="preserve">Óleo Lubrificante Automotivo Sintético 0W20 - SP</t>
  </si>
  <si>
    <t xml:space="preserve">Óleo Lubrificante Automotivo Sintético 0W20</t>
  </si>
  <si>
    <t xml:space="preserve">Óleo Lubrificante Motor 2 Tempos </t>
  </si>
  <si>
    <t xml:space="preserve">Transmissão, Eixos e ATF</t>
  </si>
  <si>
    <t xml:space="preserve">Óleo Lubrificante Automotivo Mineral 80W90</t>
  </si>
  <si>
    <t xml:space="preserve">Óleo Lubrificante Automotivo Mineral SAE 90</t>
  </si>
  <si>
    <t xml:space="preserve">Óleo Lubrificante Automotivo Mineral 85W140</t>
  </si>
  <si>
    <t xml:space="preserve">Óleo Lubrificante Automotivo Mineral 10W30 API GL-4</t>
  </si>
  <si>
    <t xml:space="preserve">Óleo Lubrificante Automotivo Semissintético 75W80 API GL-4</t>
  </si>
  <si>
    <t xml:space="preserve">Óleo Lubrificante Semissintético 75W80 Transmission</t>
  </si>
  <si>
    <t xml:space="preserve">Óleo Lubrificante Semissintético 75W90</t>
  </si>
  <si>
    <t xml:space="preserve">Óleo Lubrificante Automotivo Semissintético 75W90 Transmission</t>
  </si>
  <si>
    <t xml:space="preserve">Óleo Lubrificante Automotivo Mineral Gear 150</t>
  </si>
  <si>
    <t xml:space="preserve">Óleo Lubrificante Automotivo Sintético Gear 220</t>
  </si>
  <si>
    <t xml:space="preserve">Óleo Lubrificante Automotivo Sintético ATF - 3S</t>
  </si>
  <si>
    <t xml:space="preserve">Óleo Lubrificante Transmissão/Direção 10W ATF</t>
  </si>
  <si>
    <t xml:space="preserve">Hidráulicos e Industriais</t>
  </si>
  <si>
    <t xml:space="preserve">Óleo Lubrificante Automotivo Mineral ISO 68 Granel</t>
  </si>
  <si>
    <t xml:space="preserve">Óleo Lubrificante Automotivo Mineral 68 - Tambor 200L</t>
  </si>
  <si>
    <t xml:space="preserve">Óleo Lubrificante Automotivo Mineral ISO 46</t>
  </si>
  <si>
    <t xml:space="preserve">Óleo Lubrificante Hidráulico AW32 20L</t>
  </si>
  <si>
    <t xml:space="preserve">Óleo Lubrificante Hidráulico SAE 10</t>
  </si>
  <si>
    <t xml:space="preserve">Óleo Lubrificante Automotivo Mineral ISO 68 HVLP</t>
  </si>
  <si>
    <t xml:space="preserve">Motor 5W30 API CK4 - sintético</t>
  </si>
  <si>
    <t xml:space="preserve">Motor 15W40 API CK4 - mineral</t>
  </si>
  <si>
    <t>AGRO</t>
  </si>
  <si>
    <t xml:space="preserve">ADJUVANTI MINERAL</t>
  </si>
  <si>
    <t>20L</t>
  </si>
  <si>
    <t>?</t>
  </si>
  <si>
    <t>GRANEL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</si>
</sst>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9">
    <font>
      <sz val="11.000000"/>
      <color theme="1"/>
      <name val="Calibri"/>
    </font>
    <font>
      <sz val="11.000000"/>
      <color theme="1"/>
      <name val="Calibri"/>
      <scheme val="minor"/>
    </font>
    <font>
      <b/>
      <sz val="11.000000"/>
      <color theme="1"/>
      <name val="Calibri"/>
    </font>
    <font>
      <b/>
      <sz val="12.000000"/>
      <color theme="1"/>
      <name val="Calibri"/>
    </font>
    <font>
      <sz val="11.000000"/>
      <color theme="0"/>
      <name val="Calibri"/>
    </font>
    <font>
      <b/>
      <sz val="10.000000"/>
      <color theme="0"/>
      <name val="Arial"/>
    </font>
    <font>
      <b/>
      <sz val="13.000000"/>
      <color theme="3"/>
      <name val="Arial"/>
    </font>
    <font>
      <b/>
      <sz val="10.000000"/>
      <color theme="1"/>
      <name val="Arial"/>
    </font>
    <font>
      <sz val="10.00000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  <bgColor indexed="63"/>
      </patternFill>
    </fill>
    <fill>
      <patternFill patternType="solid">
        <fgColor rgb="FF1F3864"/>
        <bgColor indexed="63"/>
      </patternFill>
    </fill>
    <fill>
      <patternFill patternType="solid">
        <fgColor indexed="5"/>
        <bgColor indexed="5"/>
      </patternFill>
    </fill>
    <fill>
      <patternFill patternType="solid">
        <fgColor theme="6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164" applyNumberFormat="1" applyFont="0" applyFill="0" applyBorder="0" applyProtection="0"/>
  </cellStyleXfs>
  <cellXfs count="28">
    <xf fontId="0" fillId="0" borderId="0" numFmtId="0" xfId="0"/>
    <xf fontId="0" fillId="2" borderId="0" numFmtId="0" xfId="0" applyFill="1"/>
    <xf fontId="0" fillId="3" borderId="0" numFmtId="164" xfId="1" applyNumberFormat="1" applyFill="1"/>
    <xf fontId="0" fillId="0" borderId="0" numFmtId="164" xfId="1" applyNumberFormat="1"/>
    <xf fontId="2" fillId="0" borderId="0" numFmtId="14" xfId="0" applyNumberFormat="1" applyFont="1" applyAlignment="1">
      <alignment horizontal="left"/>
    </xf>
    <xf fontId="2" fillId="0" borderId="0" numFmtId="0" xfId="0" applyFont="1"/>
    <xf fontId="0" fillId="3" borderId="0" numFmtId="0" xfId="0" applyFill="1"/>
    <xf fontId="3" fillId="3" borderId="0" numFmtId="164" xfId="1" applyNumberFormat="1" applyFont="1" applyFill="1"/>
    <xf fontId="4" fillId="0" borderId="0" numFmtId="0" xfId="0" applyFont="1"/>
    <xf fontId="5" fillId="4" borderId="0" numFmtId="0" xfId="0" applyFont="1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6" fillId="6" borderId="1" numFmtId="0" xfId="0" applyFont="1" applyFill="1" applyBorder="1" applyAlignment="1">
      <alignment horizontal="center" vertical="center" wrapText="1"/>
    </xf>
    <xf fontId="5" fillId="5" borderId="1" numFmtId="164" xfId="1" applyNumberFormat="1" applyFont="1" applyFill="1" applyBorder="1" applyAlignment="1">
      <alignment horizontal="center" vertical="center" wrapText="1"/>
    </xf>
    <xf fontId="7" fillId="2" borderId="0" numFmtId="0" xfId="0" applyFont="1" applyFill="1"/>
    <xf fontId="8" fillId="0" borderId="1" numFmtId="0" xfId="0" applyFont="1" applyBorder="1" applyAlignment="1">
      <alignment horizontal="center"/>
    </xf>
    <xf fontId="8" fillId="0" borderId="1" numFmtId="3" xfId="0" applyNumberFormat="1" applyFont="1" applyBorder="1" applyAlignment="1">
      <alignment horizontal="center"/>
    </xf>
    <xf fontId="8" fillId="6" borderId="1" numFmtId="164" xfId="1" applyNumberFormat="1" applyFont="1" applyFill="1" applyBorder="1" applyAlignment="1">
      <alignment horizontal="center"/>
    </xf>
    <xf fontId="8" fillId="0" borderId="1" numFmtId="164" xfId="1" applyNumberFormat="1" applyFont="1" applyBorder="1" applyAlignment="1">
      <alignment horizontal="center"/>
    </xf>
    <xf fontId="8" fillId="7" borderId="1" numFmtId="164" xfId="1" applyNumberFormat="1" applyFont="1" applyFill="1" applyBorder="1" applyAlignment="1">
      <alignment horizontal="center"/>
    </xf>
    <xf fontId="8" fillId="2" borderId="0" numFmtId="0" xfId="0" applyFont="1" applyFill="1"/>
    <xf fontId="8" fillId="2" borderId="1" numFmtId="0" xfId="0" applyFont="1" applyFill="1" applyBorder="1" applyAlignment="1">
      <alignment horizontal="center"/>
    </xf>
    <xf fontId="8" fillId="2" borderId="1" numFmtId="3" xfId="0" applyNumberFormat="1" applyFont="1" applyFill="1" applyBorder="1" applyAlignment="1">
      <alignment horizontal="center"/>
    </xf>
    <xf fontId="8" fillId="2" borderId="1" numFmtId="164" xfId="1" applyNumberFormat="1" applyFont="1" applyFill="1" applyBorder="1" applyAlignment="1">
      <alignment horizontal="center"/>
    </xf>
    <xf fontId="0" fillId="0" borderId="1" numFmtId="164" xfId="1" applyNumberFormat="1" applyBorder="1" applyAlignment="1">
      <alignment horizontal="center"/>
    </xf>
    <xf fontId="0" fillId="0" borderId="1" numFmtId="0" xfId="0" applyBorder="1" applyAlignment="1">
      <alignment horizontal="center"/>
    </xf>
    <xf fontId="0" fillId="6" borderId="1" numFmtId="164" xfId="1" applyNumberFormat="1" applyFill="1" applyBorder="1" applyAlignment="1">
      <alignment horizontal="center"/>
    </xf>
    <xf fontId="0" fillId="0" borderId="1" numFmtId="3" xfId="0" applyNumberFormat="1" applyBorder="1"/>
    <xf fontId="0" fillId="0" borderId="1" numFmtId="164" xfId="1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26574419-D4F1-582C-F219-F9130F32683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7" personId="{26574419-D4F1-582C-F219-F9130F326837}" id="{405C5041-56E2-4080-8EE3-3102FAA47417}" done="0">
    <text xml:space="preserve">Preço da proposta é por caixa 24x1L (MOBIL SUPER 3000 X3 5W40 24X1L); dividido por 24 para R$/L.
</text>
  </threadedComment>
  <threadedComment ref="M29" personId="{26574419-D4F1-582C-F219-F9130F326837}" id="{4BC34C56-BE82-4392-9F0F-A03EC549CDF2}" done="0">
    <text xml:space="preserve">Preço da proposta é por caixa 24x1L (MOBIL SUPER 3000 5W30 24X1L); dividido por 24 para R$/L.
</text>
  </threadedComment>
  <threadedComment ref="M34" personId="{26574419-D4F1-582C-F219-F9130F326837}" id="{AD4DB1E4-5ECB-46DE-8476-15B4544ECFE7}" done="0">
    <text xml:space="preserve">Preço da proposta (R$ 1,798.00) sem unidade clara (caixa?); desconsiderado na comparação de 1 L.
</text>
  </threadedComment>
  <threadedComment ref="L46" personId="{26574419-D4F1-582C-F219-F9130F326837}" id="{B05DE0FA-332F-489E-81D8-1E7BD9D66734}" done="0">
    <text xml:space="preserve">Fornecedor indicou 'Sem equivalente SAE 90 confirmado'. Preço informado na proposta (R$ 999.00) desconsiderado.
</text>
  </threadedComment>
  <threadedComment ref="L47" personId="{26574419-D4F1-582C-F219-F9130F326837}" id="{71C1B670-3F94-44D2-8DE6-0B3ECE872DB2}" done="0">
    <text xml:space="preserve">Fornecedor indicou 'Sem equivalente SAE 90 confirmado'. Preço informado na proposta (R$ 7,999.00) desconsiderado.
</text>
  </threadedComment>
  <threadedComment ref="M8" personId="{26574419-D4F1-582C-F219-F9130F326837}" id="{34D8C36F-5CD2-454D-AB27-537826328F37}" done="0">
    <text xml:space="preserve">Proposta trazia R$ 1,000.00 para 1000 L (≈ R$ 1/L): valor incorreto, desconsiderado.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67" zoomScale="100" workbookViewId="0">
      <selection activeCell="B5" activeCellId="0" sqref="B5:M92"/>
    </sheetView>
  </sheetViews>
  <sheetFormatPr defaultRowHeight="14.25"/>
  <cols>
    <col customWidth="1" min="1" max="1" style="1" width="3.6640625"/>
    <col bestFit="1" customWidth="1" min="2" max="2" width="27.6640625"/>
    <col bestFit="1" customWidth="1" min="3" max="3" width="63.109375"/>
    <col customWidth="1" min="4" max="4" width="12.77734375"/>
    <col bestFit="1" customWidth="1" min="5" max="5" width="6.5546875"/>
    <col customWidth="1" min="6" max="6" style="2" width="15.77734375"/>
    <col customWidth="1" min="7" max="7" style="3" width="3.5546875"/>
    <col bestFit="1" customWidth="1" min="8" max="13" style="3" width="13.44140625"/>
  </cols>
  <sheetData>
    <row r="1" ht="14.25">
      <c r="F1" s="2"/>
    </row>
    <row r="2">
      <c r="B2" s="4">
        <v>46315</v>
      </c>
      <c r="F2" s="2"/>
    </row>
    <row r="3">
      <c r="B3" s="5" t="s">
        <v>0</v>
      </c>
      <c r="F3" s="2"/>
      <c r="G3" s="3"/>
      <c r="I3" t="s">
        <v>1</v>
      </c>
    </row>
    <row r="4" ht="15.6">
      <c r="E4" s="6"/>
      <c r="F4" s="7" t="s">
        <v>2</v>
      </c>
      <c r="G4" s="2"/>
      <c r="H4" s="2"/>
      <c r="I4" s="2"/>
    </row>
    <row r="5" s="8" customFormat="1" ht="16.800000000000001">
      <c r="A5" s="9"/>
      <c r="B5" s="10" t="s">
        <v>3</v>
      </c>
      <c r="C5" s="10" t="s">
        <v>4</v>
      </c>
      <c r="D5" s="10" t="s">
        <v>5</v>
      </c>
      <c r="E5" s="10" t="s">
        <v>6</v>
      </c>
      <c r="F5" s="11" t="s">
        <v>7</v>
      </c>
      <c r="G5" s="10"/>
      <c r="H5" s="12" t="s">
        <v>8</v>
      </c>
      <c r="I5" s="12" t="s">
        <v>9</v>
      </c>
      <c r="J5" s="12" t="s">
        <v>10</v>
      </c>
      <c r="K5" s="12" t="s">
        <v>11</v>
      </c>
      <c r="L5" s="12" t="s">
        <v>12</v>
      </c>
      <c r="M5" s="12" t="s">
        <v>13</v>
      </c>
    </row>
    <row r="6">
      <c r="A6" s="13"/>
      <c r="B6" s="14" t="s">
        <v>14</v>
      </c>
      <c r="C6" s="14" t="s">
        <v>15</v>
      </c>
      <c r="D6" s="14" t="s">
        <v>16</v>
      </c>
      <c r="E6" s="15">
        <v>20</v>
      </c>
      <c r="F6" s="16">
        <v>249</v>
      </c>
      <c r="G6" s="17"/>
      <c r="H6" s="18">
        <v>411</v>
      </c>
      <c r="I6" s="17">
        <v>411</v>
      </c>
      <c r="J6" s="17">
        <v>414.43</v>
      </c>
      <c r="K6" s="17">
        <v>799</v>
      </c>
      <c r="L6" s="17">
        <v>930</v>
      </c>
      <c r="M6" s="17"/>
    </row>
    <row r="7">
      <c r="A7" s="13"/>
      <c r="B7" s="14" t="s">
        <v>14</v>
      </c>
      <c r="C7" s="14" t="s">
        <v>15</v>
      </c>
      <c r="D7" s="14" t="s">
        <v>17</v>
      </c>
      <c r="E7" s="15">
        <v>200</v>
      </c>
      <c r="F7" s="16">
        <v>2490</v>
      </c>
      <c r="G7" s="17"/>
      <c r="H7" s="18">
        <v>3934</v>
      </c>
      <c r="I7" s="17">
        <v>3934</v>
      </c>
      <c r="J7" s="17">
        <v>4207.24</v>
      </c>
      <c r="K7" s="17">
        <v>6300</v>
      </c>
      <c r="L7" s="17">
        <v>8999</v>
      </c>
      <c r="M7" s="17"/>
    </row>
    <row r="8">
      <c r="A8" s="13"/>
      <c r="B8" s="14" t="s">
        <v>14</v>
      </c>
      <c r="C8" s="14" t="s">
        <v>15</v>
      </c>
      <c r="D8" s="14" t="s">
        <v>18</v>
      </c>
      <c r="E8" s="15">
        <v>1000</v>
      </c>
      <c r="F8" s="16">
        <v>12000</v>
      </c>
      <c r="G8" s="17"/>
      <c r="H8" s="18">
        <v>16500</v>
      </c>
      <c r="I8" s="17">
        <v>18560</v>
      </c>
      <c r="J8" s="17">
        <v>19888.46</v>
      </c>
      <c r="K8" s="17">
        <v>19999</v>
      </c>
      <c r="L8" s="17">
        <v>26900</v>
      </c>
      <c r="M8" s="17"/>
    </row>
    <row r="9">
      <c r="A9" s="19"/>
      <c r="B9" s="14" t="s">
        <v>14</v>
      </c>
      <c r="C9" s="14" t="s">
        <v>19</v>
      </c>
      <c r="D9" s="14" t="s">
        <v>16</v>
      </c>
      <c r="E9" s="15">
        <v>20</v>
      </c>
      <c r="F9" s="16">
        <v>720</v>
      </c>
      <c r="G9" s="17"/>
      <c r="H9" s="18">
        <v>411</v>
      </c>
      <c r="I9" s="17">
        <v>411</v>
      </c>
      <c r="J9" s="17">
        <v>930</v>
      </c>
      <c r="K9" s="17">
        <v>899</v>
      </c>
      <c r="L9" s="17">
        <v>1100</v>
      </c>
      <c r="M9" s="17"/>
    </row>
    <row r="10">
      <c r="A10" s="19"/>
      <c r="B10" s="14" t="s">
        <v>14</v>
      </c>
      <c r="C10" s="14" t="s">
        <v>19</v>
      </c>
      <c r="D10" s="14" t="s">
        <v>17</v>
      </c>
      <c r="E10" s="15">
        <v>200</v>
      </c>
      <c r="F10" s="16">
        <v>6200</v>
      </c>
      <c r="G10" s="17"/>
      <c r="H10" s="18">
        <v>3934</v>
      </c>
      <c r="I10" s="17">
        <v>3934</v>
      </c>
      <c r="J10" s="17">
        <v>8999</v>
      </c>
      <c r="K10" s="17">
        <v>7899</v>
      </c>
      <c r="L10" s="17">
        <v>9999</v>
      </c>
      <c r="M10" s="17"/>
    </row>
    <row r="11">
      <c r="A11" s="19"/>
      <c r="B11" s="14" t="s">
        <v>14</v>
      </c>
      <c r="C11" s="14" t="s">
        <v>19</v>
      </c>
      <c r="D11" s="14" t="s">
        <v>18</v>
      </c>
      <c r="E11" s="15">
        <v>1000</v>
      </c>
      <c r="F11" s="16">
        <v>26900</v>
      </c>
      <c r="G11" s="17"/>
      <c r="H11" s="18">
        <v>18560</v>
      </c>
      <c r="I11" s="17">
        <v>18560</v>
      </c>
      <c r="J11" s="17">
        <v>28900</v>
      </c>
      <c r="K11" s="17">
        <v>33220</v>
      </c>
      <c r="L11" s="17">
        <v>33100</v>
      </c>
      <c r="M11" s="17"/>
    </row>
    <row r="12">
      <c r="A12" s="19"/>
      <c r="B12" s="14" t="s">
        <v>14</v>
      </c>
      <c r="C12" s="14" t="s">
        <v>20</v>
      </c>
      <c r="D12" s="14" t="s">
        <v>16</v>
      </c>
      <c r="E12" s="15">
        <v>20</v>
      </c>
      <c r="F12" s="16">
        <v>720</v>
      </c>
      <c r="G12" s="17"/>
      <c r="H12" s="18">
        <v>411</v>
      </c>
      <c r="I12" s="17">
        <v>411</v>
      </c>
      <c r="J12" s="17">
        <v>930</v>
      </c>
      <c r="K12" s="17">
        <v>899</v>
      </c>
      <c r="L12" s="17">
        <v>1100</v>
      </c>
      <c r="M12" s="17"/>
    </row>
    <row r="13">
      <c r="A13" s="19"/>
      <c r="B13" s="14" t="s">
        <v>14</v>
      </c>
      <c r="C13" s="14" t="s">
        <v>20</v>
      </c>
      <c r="D13" s="14" t="s">
        <v>17</v>
      </c>
      <c r="E13" s="15">
        <v>200</v>
      </c>
      <c r="F13" s="16">
        <v>6200</v>
      </c>
      <c r="G13" s="17"/>
      <c r="H13" s="18">
        <v>3934</v>
      </c>
      <c r="I13" s="17">
        <v>3934</v>
      </c>
      <c r="J13" s="17">
        <v>8999</v>
      </c>
      <c r="K13" s="17">
        <v>7899</v>
      </c>
      <c r="L13" s="17">
        <v>9999</v>
      </c>
      <c r="M13" s="17"/>
    </row>
    <row r="14">
      <c r="A14" s="19"/>
      <c r="B14" s="14" t="s">
        <v>14</v>
      </c>
      <c r="C14" s="14" t="s">
        <v>20</v>
      </c>
      <c r="D14" s="14" t="s">
        <v>18</v>
      </c>
      <c r="E14" s="15">
        <v>1000</v>
      </c>
      <c r="F14" s="16">
        <v>26900</v>
      </c>
      <c r="G14" s="17"/>
      <c r="H14" s="18">
        <v>18560</v>
      </c>
      <c r="I14" s="17">
        <v>18560</v>
      </c>
      <c r="J14" s="17">
        <v>28900</v>
      </c>
      <c r="K14" s="17">
        <v>33220</v>
      </c>
      <c r="L14" s="17">
        <v>33100</v>
      </c>
      <c r="M14" s="17"/>
    </row>
    <row r="15">
      <c r="A15" s="19"/>
      <c r="B15" s="14" t="s">
        <v>14</v>
      </c>
      <c r="C15" s="14" t="s">
        <v>21</v>
      </c>
      <c r="D15" s="14" t="s">
        <v>16</v>
      </c>
      <c r="E15" s="15">
        <v>20</v>
      </c>
      <c r="F15" s="16">
        <v>315</v>
      </c>
      <c r="G15" s="17"/>
      <c r="H15" s="18">
        <v>449.4</v>
      </c>
      <c r="I15" s="17">
        <v>449.4</v>
      </c>
      <c r="J15" s="17">
        <v>880</v>
      </c>
      <c r="K15" s="17">
        <v>799</v>
      </c>
      <c r="L15" s="17">
        <v>950</v>
      </c>
      <c r="M15" s="17"/>
    </row>
    <row r="16">
      <c r="A16" s="19"/>
      <c r="B16" s="14" t="s">
        <v>14</v>
      </c>
      <c r="C16" s="14" t="s">
        <v>21</v>
      </c>
      <c r="D16" s="14" t="s">
        <v>17</v>
      </c>
      <c r="E16" s="15">
        <v>200</v>
      </c>
      <c r="F16" s="16">
        <v>3100</v>
      </c>
      <c r="G16" s="17"/>
      <c r="H16" s="18">
        <v>4334</v>
      </c>
      <c r="I16" s="17">
        <v>4334</v>
      </c>
      <c r="J16" s="17">
        <v>4460.01</v>
      </c>
      <c r="K16" s="17">
        <v>6300</v>
      </c>
      <c r="L16" s="17">
        <v>7500</v>
      </c>
      <c r="M16" s="17"/>
    </row>
    <row r="17">
      <c r="A17" s="19"/>
      <c r="B17" s="14" t="s">
        <v>14</v>
      </c>
      <c r="C17" s="14" t="s">
        <v>22</v>
      </c>
      <c r="D17" s="14" t="s">
        <v>16</v>
      </c>
      <c r="E17" s="15">
        <v>20</v>
      </c>
      <c r="F17" s="16">
        <v>310</v>
      </c>
      <c r="G17" s="17"/>
      <c r="H17" s="18">
        <v>491.4</v>
      </c>
      <c r="I17" s="17">
        <v>491.4</v>
      </c>
      <c r="J17" s="17">
        <v>880</v>
      </c>
      <c r="K17" s="17">
        <v>799</v>
      </c>
      <c r="L17" s="17">
        <v>950</v>
      </c>
      <c r="M17" s="17"/>
    </row>
    <row r="18">
      <c r="A18" s="19"/>
      <c r="B18" s="14" t="s">
        <v>14</v>
      </c>
      <c r="C18" s="14" t="s">
        <v>22</v>
      </c>
      <c r="D18" s="14" t="s">
        <v>17</v>
      </c>
      <c r="E18" s="15">
        <v>200</v>
      </c>
      <c r="F18" s="16">
        <v>3100</v>
      </c>
      <c r="G18" s="17"/>
      <c r="H18" s="17">
        <v>4794</v>
      </c>
      <c r="I18" s="17">
        <v>4794</v>
      </c>
      <c r="J18" s="18">
        <v>4406.65</v>
      </c>
      <c r="K18" s="17">
        <v>6300</v>
      </c>
      <c r="L18" s="17">
        <v>7500</v>
      </c>
      <c r="M18" s="17">
        <v>11350</v>
      </c>
    </row>
    <row r="19">
      <c r="A19" s="19"/>
      <c r="B19" s="14" t="s">
        <v>14</v>
      </c>
      <c r="C19" s="14" t="s">
        <v>23</v>
      </c>
      <c r="D19" s="14" t="s">
        <v>16</v>
      </c>
      <c r="E19" s="15">
        <v>20</v>
      </c>
      <c r="F19" s="16">
        <v>310</v>
      </c>
      <c r="G19" s="17"/>
      <c r="H19" s="18">
        <v>480</v>
      </c>
      <c r="I19" s="17">
        <v>539.6</v>
      </c>
      <c r="J19" s="17">
        <v>880</v>
      </c>
      <c r="K19" s="17">
        <v>799</v>
      </c>
      <c r="L19" s="17">
        <v>950</v>
      </c>
      <c r="M19" s="17"/>
    </row>
    <row r="20">
      <c r="A20" s="19"/>
      <c r="B20" s="14" t="s">
        <v>14</v>
      </c>
      <c r="C20" s="14" t="s">
        <v>23</v>
      </c>
      <c r="D20" s="14" t="s">
        <v>17</v>
      </c>
      <c r="E20" s="15">
        <v>200</v>
      </c>
      <c r="F20" s="16">
        <v>3100</v>
      </c>
      <c r="G20" s="17"/>
      <c r="H20" s="17">
        <v>5110</v>
      </c>
      <c r="I20" s="18">
        <v>3997.75</v>
      </c>
      <c r="J20" s="17">
        <v>4680</v>
      </c>
      <c r="K20" s="17">
        <v>4900</v>
      </c>
      <c r="L20" s="17">
        <v>7500</v>
      </c>
      <c r="M20" s="17">
        <v>10084</v>
      </c>
    </row>
    <row r="21">
      <c r="A21" s="19"/>
      <c r="B21" s="14" t="s">
        <v>24</v>
      </c>
      <c r="C21" s="14" t="s">
        <v>25</v>
      </c>
      <c r="D21" s="14" t="s">
        <v>16</v>
      </c>
      <c r="E21" s="15">
        <v>20</v>
      </c>
      <c r="F21" s="16">
        <v>340</v>
      </c>
      <c r="G21" s="17"/>
      <c r="H21" s="17"/>
      <c r="I21" s="17"/>
      <c r="J21" s="17">
        <v>790</v>
      </c>
      <c r="K21" s="18">
        <v>500</v>
      </c>
      <c r="L21" s="17">
        <v>899</v>
      </c>
      <c r="M21" s="17"/>
    </row>
    <row r="22">
      <c r="A22" s="19"/>
      <c r="B22" s="14" t="s">
        <v>24</v>
      </c>
      <c r="C22" s="14" t="s">
        <v>25</v>
      </c>
      <c r="D22" s="14" t="s">
        <v>17</v>
      </c>
      <c r="E22" s="15">
        <v>200</v>
      </c>
      <c r="F22" s="16">
        <v>2990</v>
      </c>
      <c r="G22" s="17"/>
      <c r="H22" s="18">
        <v>4182</v>
      </c>
      <c r="I22" s="17">
        <v>4182</v>
      </c>
      <c r="J22" s="17">
        <v>8999</v>
      </c>
      <c r="K22" s="17">
        <v>7500</v>
      </c>
      <c r="L22" s="17">
        <v>9300</v>
      </c>
      <c r="M22" s="17">
        <v>5840</v>
      </c>
    </row>
    <row r="23">
      <c r="A23" s="19"/>
      <c r="B23" s="14" t="s">
        <v>24</v>
      </c>
      <c r="C23" s="14" t="s">
        <v>26</v>
      </c>
      <c r="D23" s="14" t="s">
        <v>16</v>
      </c>
      <c r="E23" s="15">
        <v>20</v>
      </c>
      <c r="F23" s="16">
        <v>330</v>
      </c>
      <c r="G23" s="17"/>
      <c r="H23" s="18">
        <v>480</v>
      </c>
      <c r="I23" s="17"/>
      <c r="J23" s="17">
        <v>790</v>
      </c>
      <c r="K23" s="17">
        <v>899</v>
      </c>
      <c r="L23" s="17">
        <v>899</v>
      </c>
      <c r="M23" s="17"/>
    </row>
    <row r="24">
      <c r="A24" s="19"/>
      <c r="B24" s="14" t="s">
        <v>24</v>
      </c>
      <c r="C24" s="14" t="s">
        <v>26</v>
      </c>
      <c r="D24" s="14" t="s">
        <v>17</v>
      </c>
      <c r="E24" s="15">
        <v>200</v>
      </c>
      <c r="F24" s="16">
        <v>3200</v>
      </c>
      <c r="G24" s="17"/>
      <c r="H24" s="18">
        <v>4300</v>
      </c>
      <c r="I24" s="17">
        <v>4300</v>
      </c>
      <c r="J24" s="17">
        <v>8200</v>
      </c>
      <c r="K24" s="17">
        <v>7500</v>
      </c>
      <c r="L24" s="17">
        <v>8800</v>
      </c>
      <c r="M24" s="17">
        <v>6369</v>
      </c>
    </row>
    <row r="25">
      <c r="A25" s="19"/>
      <c r="B25" s="14" t="s">
        <v>24</v>
      </c>
      <c r="C25" s="14" t="s">
        <v>27</v>
      </c>
      <c r="D25" s="14" t="s">
        <v>16</v>
      </c>
      <c r="E25" s="15">
        <v>20</v>
      </c>
      <c r="F25" s="16">
        <v>550</v>
      </c>
      <c r="G25" s="17"/>
      <c r="H25" s="18">
        <v>480</v>
      </c>
      <c r="I25" s="17"/>
      <c r="J25" s="17">
        <v>790</v>
      </c>
      <c r="K25" s="17">
        <v>899</v>
      </c>
      <c r="L25" s="17">
        <v>899</v>
      </c>
      <c r="M25" s="17"/>
    </row>
    <row r="26">
      <c r="A26" s="19"/>
      <c r="B26" s="14" t="s">
        <v>24</v>
      </c>
      <c r="C26" s="14" t="s">
        <v>27</v>
      </c>
      <c r="D26" s="14" t="s">
        <v>17</v>
      </c>
      <c r="E26" s="15">
        <v>200</v>
      </c>
      <c r="F26" s="16">
        <v>5500</v>
      </c>
      <c r="G26" s="17"/>
      <c r="H26" s="18">
        <v>4300</v>
      </c>
      <c r="I26" s="17">
        <v>4300</v>
      </c>
      <c r="J26" s="17">
        <v>8200</v>
      </c>
      <c r="K26" s="17">
        <v>7500</v>
      </c>
      <c r="L26" s="17">
        <v>8800</v>
      </c>
      <c r="M26" s="17"/>
    </row>
    <row r="27">
      <c r="A27" s="19"/>
      <c r="B27" s="14" t="s">
        <v>24</v>
      </c>
      <c r="C27" s="14" t="s">
        <v>28</v>
      </c>
      <c r="D27" s="14" t="s">
        <v>29</v>
      </c>
      <c r="E27" s="15">
        <v>1</v>
      </c>
      <c r="F27" s="16">
        <v>25</v>
      </c>
      <c r="G27" s="17"/>
      <c r="H27" s="18">
        <v>25</v>
      </c>
      <c r="I27" s="17">
        <v>32.29</v>
      </c>
      <c r="J27" s="17">
        <v>49</v>
      </c>
      <c r="K27" s="17">
        <v>48</v>
      </c>
      <c r="L27" s="17">
        <v>49</v>
      </c>
      <c r="M27" s="17">
        <f>1052/24</f>
        <v>43.8333333333333</v>
      </c>
    </row>
    <row r="28">
      <c r="A28" s="19"/>
      <c r="B28" s="14" t="s">
        <v>24</v>
      </c>
      <c r="C28" s="14" t="s">
        <v>28</v>
      </c>
      <c r="D28" s="14" t="s">
        <v>17</v>
      </c>
      <c r="E28" s="15">
        <v>200</v>
      </c>
      <c r="F28" s="16">
        <v>3850</v>
      </c>
      <c r="G28" s="17"/>
      <c r="H28" s="18">
        <v>5500</v>
      </c>
      <c r="I28" s="17">
        <v>6128</v>
      </c>
      <c r="J28" s="17">
        <v>7200</v>
      </c>
      <c r="K28" s="17">
        <v>5999</v>
      </c>
      <c r="L28" s="17">
        <v>7999</v>
      </c>
      <c r="M28" s="17"/>
    </row>
    <row r="29">
      <c r="A29" s="19"/>
      <c r="B29" s="14" t="s">
        <v>24</v>
      </c>
      <c r="C29" s="14" t="s">
        <v>30</v>
      </c>
      <c r="D29" s="14" t="s">
        <v>29</v>
      </c>
      <c r="E29" s="15">
        <v>1</v>
      </c>
      <c r="F29" s="16">
        <v>25</v>
      </c>
      <c r="G29" s="17"/>
      <c r="H29" s="18">
        <v>25</v>
      </c>
      <c r="I29" s="17">
        <v>32.54</v>
      </c>
      <c r="J29" s="17">
        <v>49</v>
      </c>
      <c r="K29" s="17">
        <v>48</v>
      </c>
      <c r="L29" s="17">
        <v>49</v>
      </c>
      <c r="M29" s="17">
        <f>853/24</f>
        <v>35.5416666666667</v>
      </c>
    </row>
    <row r="30">
      <c r="A30" s="19"/>
      <c r="B30" s="14" t="s">
        <v>24</v>
      </c>
      <c r="C30" s="14" t="s">
        <v>30</v>
      </c>
      <c r="D30" s="14" t="s">
        <v>17</v>
      </c>
      <c r="E30" s="15">
        <v>200</v>
      </c>
      <c r="F30" s="16">
        <v>3850</v>
      </c>
      <c r="G30" s="17"/>
      <c r="H30" s="17">
        <v>6168</v>
      </c>
      <c r="I30" s="17">
        <v>6168</v>
      </c>
      <c r="J30" s="18">
        <v>5100</v>
      </c>
      <c r="K30" s="17">
        <v>5999</v>
      </c>
      <c r="L30" s="17">
        <v>5999</v>
      </c>
      <c r="M30" s="17"/>
    </row>
    <row r="31">
      <c r="A31" s="19"/>
      <c r="B31" s="14" t="s">
        <v>24</v>
      </c>
      <c r="C31" s="14" t="s">
        <v>30</v>
      </c>
      <c r="D31" s="14" t="s">
        <v>29</v>
      </c>
      <c r="E31" s="15">
        <v>1</v>
      </c>
      <c r="F31" s="16">
        <v>29.35</v>
      </c>
      <c r="G31" s="17"/>
      <c r="H31" s="18">
        <v>25</v>
      </c>
      <c r="I31" s="17">
        <v>32.54</v>
      </c>
      <c r="J31" s="17">
        <v>49</v>
      </c>
      <c r="K31" s="17">
        <v>48</v>
      </c>
      <c r="L31" s="17">
        <v>49</v>
      </c>
      <c r="M31" s="17"/>
    </row>
    <row r="32">
      <c r="A32" s="19"/>
      <c r="B32" s="14" t="s">
        <v>24</v>
      </c>
      <c r="C32" s="14" t="s">
        <v>30</v>
      </c>
      <c r="D32" s="14" t="s">
        <v>16</v>
      </c>
      <c r="E32" s="15">
        <v>20</v>
      </c>
      <c r="F32" s="16">
        <v>527</v>
      </c>
      <c r="G32" s="17"/>
      <c r="H32" s="18">
        <v>480</v>
      </c>
      <c r="I32" s="17"/>
      <c r="J32" s="17">
        <v>790</v>
      </c>
      <c r="K32" s="17">
        <v>899</v>
      </c>
      <c r="L32" s="17">
        <v>899</v>
      </c>
      <c r="M32" s="17"/>
    </row>
    <row r="33">
      <c r="A33" s="19"/>
      <c r="B33" s="14" t="s">
        <v>24</v>
      </c>
      <c r="C33" s="14" t="s">
        <v>30</v>
      </c>
      <c r="D33" s="14" t="s">
        <v>17</v>
      </c>
      <c r="E33" s="15">
        <v>200</v>
      </c>
      <c r="F33" s="16">
        <v>4999</v>
      </c>
      <c r="G33" s="17"/>
      <c r="H33" s="18">
        <v>4500</v>
      </c>
      <c r="I33" s="17">
        <v>6168</v>
      </c>
      <c r="J33" s="17">
        <v>6700</v>
      </c>
      <c r="K33" s="17">
        <v>7500</v>
      </c>
      <c r="L33" s="17">
        <v>7999</v>
      </c>
      <c r="M33" s="17"/>
    </row>
    <row r="34">
      <c r="A34" s="19"/>
      <c r="B34" s="14" t="s">
        <v>24</v>
      </c>
      <c r="C34" s="14" t="s">
        <v>31</v>
      </c>
      <c r="D34" s="14" t="s">
        <v>29</v>
      </c>
      <c r="E34" s="15">
        <v>1</v>
      </c>
      <c r="F34" s="16">
        <v>29.35</v>
      </c>
      <c r="G34" s="17"/>
      <c r="H34" s="18">
        <v>25</v>
      </c>
      <c r="I34" s="17">
        <v>61.22</v>
      </c>
      <c r="J34" s="17">
        <v>49</v>
      </c>
      <c r="K34" s="17">
        <v>48</v>
      </c>
      <c r="L34" s="17">
        <v>49</v>
      </c>
      <c r="M34" s="17"/>
    </row>
    <row r="35">
      <c r="A35" s="19"/>
      <c r="B35" s="14" t="s">
        <v>24</v>
      </c>
      <c r="C35" s="14" t="s">
        <v>31</v>
      </c>
      <c r="D35" s="14" t="s">
        <v>16</v>
      </c>
      <c r="E35" s="15">
        <v>20</v>
      </c>
      <c r="F35" s="16">
        <v>527</v>
      </c>
      <c r="G35" s="17"/>
      <c r="H35" s="18">
        <v>480</v>
      </c>
      <c r="I35" s="17"/>
      <c r="J35" s="17">
        <v>790</v>
      </c>
      <c r="K35" s="17">
        <v>899</v>
      </c>
      <c r="L35" s="17">
        <v>899</v>
      </c>
      <c r="M35" s="17"/>
    </row>
    <row r="36">
      <c r="A36" s="19"/>
      <c r="B36" s="14" t="s">
        <v>24</v>
      </c>
      <c r="C36" s="14" t="s">
        <v>31</v>
      </c>
      <c r="D36" s="14" t="s">
        <v>17</v>
      </c>
      <c r="E36" s="15">
        <v>200</v>
      </c>
      <c r="F36" s="16">
        <v>4999</v>
      </c>
      <c r="G36" s="17"/>
      <c r="H36" s="18">
        <v>4500</v>
      </c>
      <c r="I36" s="17"/>
      <c r="J36" s="17">
        <v>6700</v>
      </c>
      <c r="K36" s="17">
        <v>7500</v>
      </c>
      <c r="L36" s="17">
        <v>7999</v>
      </c>
      <c r="M36" s="17"/>
    </row>
    <row r="37">
      <c r="A37" s="19"/>
      <c r="B37" s="14" t="s">
        <v>24</v>
      </c>
      <c r="C37" s="14" t="s">
        <v>32</v>
      </c>
      <c r="D37" s="14" t="s">
        <v>29</v>
      </c>
      <c r="E37" s="15">
        <v>1</v>
      </c>
      <c r="F37" s="16">
        <v>25</v>
      </c>
      <c r="G37" s="17"/>
      <c r="H37" s="18">
        <v>25</v>
      </c>
      <c r="I37" s="17">
        <v>48</v>
      </c>
      <c r="J37" s="17">
        <v>49</v>
      </c>
      <c r="K37" s="17">
        <v>48</v>
      </c>
      <c r="L37" s="17">
        <v>49</v>
      </c>
      <c r="M37" s="17"/>
    </row>
    <row r="38">
      <c r="A38" s="19"/>
      <c r="B38" s="14" t="s">
        <v>24</v>
      </c>
      <c r="C38" s="14" t="s">
        <v>33</v>
      </c>
      <c r="D38" s="14" t="s">
        <v>16</v>
      </c>
      <c r="E38" s="15">
        <v>20</v>
      </c>
      <c r="F38" s="16">
        <v>527</v>
      </c>
      <c r="G38" s="17"/>
      <c r="H38" s="18">
        <v>480</v>
      </c>
      <c r="I38" s="17"/>
      <c r="J38" s="17">
        <v>790</v>
      </c>
      <c r="K38" s="17">
        <v>899</v>
      </c>
      <c r="L38" s="17">
        <v>899</v>
      </c>
      <c r="M38" s="17"/>
    </row>
    <row r="39">
      <c r="A39" s="19"/>
      <c r="B39" s="14" t="s">
        <v>24</v>
      </c>
      <c r="C39" s="14" t="s">
        <v>32</v>
      </c>
      <c r="D39" s="14" t="s">
        <v>17</v>
      </c>
      <c r="E39" s="15">
        <v>200</v>
      </c>
      <c r="F39" s="16">
        <v>3150</v>
      </c>
      <c r="G39" s="17"/>
      <c r="H39" s="18">
        <v>4500</v>
      </c>
      <c r="I39" s="17"/>
      <c r="J39" s="17">
        <v>6700</v>
      </c>
      <c r="K39" s="17">
        <v>7500</v>
      </c>
      <c r="L39" s="17">
        <v>7999</v>
      </c>
      <c r="M39" s="17"/>
    </row>
    <row r="40">
      <c r="A40" s="19"/>
      <c r="B40" s="14" t="s">
        <v>24</v>
      </c>
      <c r="C40" s="14" t="s">
        <v>34</v>
      </c>
      <c r="D40" s="14" t="s">
        <v>29</v>
      </c>
      <c r="E40" s="15">
        <v>1</v>
      </c>
      <c r="F40" s="16">
        <v>19</v>
      </c>
      <c r="G40" s="17"/>
      <c r="H40" s="17">
        <v>30.75</v>
      </c>
      <c r="I40" s="17">
        <v>30.75</v>
      </c>
      <c r="J40" s="18">
        <v>24.38</v>
      </c>
      <c r="K40" s="17">
        <v>56</v>
      </c>
      <c r="L40" s="17">
        <v>66</v>
      </c>
      <c r="M40" s="17"/>
    </row>
    <row r="41">
      <c r="A41" s="19"/>
      <c r="B41" s="14" t="s">
        <v>24</v>
      </c>
      <c r="C41" s="14" t="s">
        <v>34</v>
      </c>
      <c r="D41" s="14" t="s">
        <v>16</v>
      </c>
      <c r="E41" s="15">
        <v>20</v>
      </c>
      <c r="F41" s="16">
        <v>399</v>
      </c>
      <c r="G41" s="17"/>
      <c r="H41" s="18">
        <v>350</v>
      </c>
      <c r="I41" s="17"/>
      <c r="J41" s="17">
        <v>790</v>
      </c>
      <c r="K41" s="17">
        <v>599</v>
      </c>
      <c r="L41" s="17">
        <v>899</v>
      </c>
      <c r="M41" s="17"/>
    </row>
    <row r="42">
      <c r="A42" s="19"/>
      <c r="B42" s="14" t="s">
        <v>24</v>
      </c>
      <c r="C42" s="14" t="s">
        <v>34</v>
      </c>
      <c r="D42" s="14" t="s">
        <v>17</v>
      </c>
      <c r="E42" s="15">
        <v>200</v>
      </c>
      <c r="F42" s="16">
        <v>3800</v>
      </c>
      <c r="G42" s="17"/>
      <c r="H42" s="18">
        <v>3500</v>
      </c>
      <c r="I42" s="17"/>
      <c r="J42" s="17">
        <v>6999</v>
      </c>
      <c r="K42" s="17">
        <v>5999</v>
      </c>
      <c r="L42" s="17">
        <v>6999</v>
      </c>
      <c r="M42" s="17"/>
    </row>
    <row r="43">
      <c r="A43" s="19"/>
      <c r="B43" s="14" t="s">
        <v>35</v>
      </c>
      <c r="C43" s="14" t="s">
        <v>36</v>
      </c>
      <c r="D43" s="14" t="s">
        <v>29</v>
      </c>
      <c r="E43" s="15">
        <v>1</v>
      </c>
      <c r="F43" s="16">
        <v>22</v>
      </c>
      <c r="G43" s="17"/>
      <c r="H43" s="18">
        <v>24</v>
      </c>
      <c r="I43" s="17"/>
      <c r="J43" s="17">
        <v>24.56</v>
      </c>
      <c r="K43" s="17">
        <v>48</v>
      </c>
      <c r="L43" s="17">
        <v>49</v>
      </c>
      <c r="M43" s="17"/>
    </row>
    <row r="44">
      <c r="A44" s="19"/>
      <c r="B44" s="14" t="s">
        <v>35</v>
      </c>
      <c r="C44" s="14" t="s">
        <v>36</v>
      </c>
      <c r="D44" s="14" t="s">
        <v>16</v>
      </c>
      <c r="E44" s="15">
        <v>20</v>
      </c>
      <c r="F44" s="16">
        <v>350</v>
      </c>
      <c r="G44" s="17"/>
      <c r="H44" s="17">
        <v>525</v>
      </c>
      <c r="I44" s="17">
        <v>525</v>
      </c>
      <c r="J44" s="18">
        <v>472.75</v>
      </c>
      <c r="K44" s="17">
        <v>899</v>
      </c>
      <c r="L44" s="17">
        <v>999</v>
      </c>
      <c r="M44" s="17"/>
    </row>
    <row r="45">
      <c r="A45" s="19"/>
      <c r="B45" s="14" t="s">
        <v>35</v>
      </c>
      <c r="C45" s="14" t="s">
        <v>36</v>
      </c>
      <c r="D45" s="14" t="s">
        <v>17</v>
      </c>
      <c r="E45" s="15">
        <v>200</v>
      </c>
      <c r="F45" s="16">
        <v>3490</v>
      </c>
      <c r="G45" s="17"/>
      <c r="H45" s="17">
        <v>4980</v>
      </c>
      <c r="I45" s="17">
        <v>5066.4</v>
      </c>
      <c r="J45" s="17">
        <v>4867.26</v>
      </c>
      <c r="K45" s="18">
        <v>4800</v>
      </c>
      <c r="L45" s="17">
        <v>7999</v>
      </c>
      <c r="M45" s="17">
        <v>6852</v>
      </c>
    </row>
    <row r="46">
      <c r="A46" s="19"/>
      <c r="B46" s="14" t="s">
        <v>35</v>
      </c>
      <c r="C46" s="14" t="s">
        <v>37</v>
      </c>
      <c r="D46" s="14" t="s">
        <v>16</v>
      </c>
      <c r="E46" s="15">
        <v>20</v>
      </c>
      <c r="F46" s="16">
        <v>330</v>
      </c>
      <c r="G46" s="17"/>
      <c r="H46" s="17">
        <v>532.6</v>
      </c>
      <c r="I46" s="17">
        <v>532.6</v>
      </c>
      <c r="J46" s="18">
        <v>452.33</v>
      </c>
      <c r="K46" s="17">
        <v>899</v>
      </c>
      <c r="L46" s="17"/>
      <c r="M46" s="17"/>
    </row>
    <row r="47">
      <c r="A47" s="19"/>
      <c r="B47" s="14" t="s">
        <v>35</v>
      </c>
      <c r="C47" s="14" t="s">
        <v>37</v>
      </c>
      <c r="D47" s="14" t="s">
        <v>17</v>
      </c>
      <c r="E47" s="15">
        <v>200</v>
      </c>
      <c r="F47" s="16">
        <v>3500</v>
      </c>
      <c r="G47" s="17"/>
      <c r="H47" s="17">
        <v>4938</v>
      </c>
      <c r="I47" s="17">
        <v>4938</v>
      </c>
      <c r="J47" s="18">
        <v>4653.81</v>
      </c>
      <c r="K47" s="17">
        <v>7500</v>
      </c>
      <c r="L47" s="17"/>
      <c r="M47" s="17">
        <v>6852</v>
      </c>
    </row>
    <row r="48">
      <c r="A48" s="19"/>
      <c r="B48" s="14" t="s">
        <v>35</v>
      </c>
      <c r="C48" s="14" t="s">
        <v>38</v>
      </c>
      <c r="D48" s="14" t="s">
        <v>16</v>
      </c>
      <c r="E48" s="15">
        <v>20</v>
      </c>
      <c r="F48" s="16">
        <v>350</v>
      </c>
      <c r="G48" s="17"/>
      <c r="H48" s="17">
        <v>541</v>
      </c>
      <c r="I48" s="17">
        <v>541</v>
      </c>
      <c r="J48" s="18">
        <v>464.15</v>
      </c>
      <c r="K48" s="17">
        <v>899</v>
      </c>
      <c r="L48" s="17">
        <v>999</v>
      </c>
      <c r="M48" s="17"/>
    </row>
    <row r="49">
      <c r="A49" s="19"/>
      <c r="B49" s="14" t="s">
        <v>35</v>
      </c>
      <c r="C49" s="14" t="s">
        <v>38</v>
      </c>
      <c r="D49" s="14" t="s">
        <v>17</v>
      </c>
      <c r="E49" s="15">
        <v>200</v>
      </c>
      <c r="F49" s="16">
        <v>3500</v>
      </c>
      <c r="G49" s="17"/>
      <c r="H49" s="17">
        <v>5284</v>
      </c>
      <c r="I49" s="17">
        <v>5018.97</v>
      </c>
      <c r="J49" s="18">
        <v>4710</v>
      </c>
      <c r="K49" s="17">
        <v>5300</v>
      </c>
      <c r="L49" s="17">
        <v>7999</v>
      </c>
      <c r="M49" s="17">
        <v>6397</v>
      </c>
    </row>
    <row r="50">
      <c r="A50" s="19"/>
      <c r="B50" s="14" t="s">
        <v>35</v>
      </c>
      <c r="C50" s="14" t="s">
        <v>38</v>
      </c>
      <c r="D50" s="14" t="s">
        <v>18</v>
      </c>
      <c r="E50" s="15">
        <v>1000</v>
      </c>
      <c r="F50" s="16">
        <v>17000</v>
      </c>
      <c r="G50" s="17"/>
      <c r="H50" s="18">
        <v>23850</v>
      </c>
      <c r="I50" s="17">
        <v>23850</v>
      </c>
      <c r="J50" s="17"/>
      <c r="K50" s="17"/>
      <c r="L50" s="17"/>
      <c r="M50" s="17"/>
    </row>
    <row r="51">
      <c r="A51" s="19"/>
      <c r="B51" s="14" t="s">
        <v>35</v>
      </c>
      <c r="C51" s="14" t="s">
        <v>39</v>
      </c>
      <c r="D51" s="14" t="s">
        <v>16</v>
      </c>
      <c r="E51" s="15">
        <v>20</v>
      </c>
      <c r="F51" s="16">
        <v>350</v>
      </c>
      <c r="G51" s="17"/>
      <c r="H51" s="18">
        <v>433.8</v>
      </c>
      <c r="I51" s="17">
        <v>433.8</v>
      </c>
      <c r="J51" s="17">
        <v>439.98</v>
      </c>
      <c r="K51" s="17">
        <v>899</v>
      </c>
      <c r="L51" s="17">
        <v>999</v>
      </c>
      <c r="M51" s="17"/>
    </row>
    <row r="52">
      <c r="A52" s="19"/>
      <c r="B52" s="14" t="s">
        <v>35</v>
      </c>
      <c r="C52" s="14" t="s">
        <v>39</v>
      </c>
      <c r="D52" s="14" t="s">
        <v>17</v>
      </c>
      <c r="E52" s="15">
        <v>200</v>
      </c>
      <c r="F52" s="16">
        <v>3300</v>
      </c>
      <c r="G52" s="17"/>
      <c r="H52" s="18">
        <v>4200</v>
      </c>
      <c r="I52" s="17">
        <v>4200</v>
      </c>
      <c r="J52" s="17">
        <v>4414</v>
      </c>
      <c r="K52" s="17">
        <v>7500</v>
      </c>
      <c r="L52" s="17">
        <v>7999</v>
      </c>
      <c r="M52" s="17">
        <v>8962</v>
      </c>
    </row>
    <row r="53">
      <c r="A53" s="19"/>
      <c r="B53" s="14" t="s">
        <v>35</v>
      </c>
      <c r="C53" s="14" t="s">
        <v>39</v>
      </c>
      <c r="D53" s="14" t="s">
        <v>18</v>
      </c>
      <c r="E53" s="15">
        <v>1000</v>
      </c>
      <c r="F53" s="16">
        <v>17000</v>
      </c>
      <c r="G53" s="17"/>
      <c r="H53" s="18">
        <v>19000</v>
      </c>
      <c r="I53" s="17">
        <v>20800</v>
      </c>
      <c r="J53" s="17">
        <v>21057.58</v>
      </c>
      <c r="K53" s="17">
        <v>27500</v>
      </c>
      <c r="L53" s="17">
        <v>27500</v>
      </c>
      <c r="M53" s="17"/>
    </row>
    <row r="54">
      <c r="A54" s="19"/>
      <c r="B54" s="14" t="s">
        <v>35</v>
      </c>
      <c r="C54" s="14" t="s">
        <v>40</v>
      </c>
      <c r="D54" s="14" t="s">
        <v>16</v>
      </c>
      <c r="E54" s="15">
        <v>20</v>
      </c>
      <c r="F54" s="16">
        <v>780</v>
      </c>
      <c r="G54" s="17"/>
      <c r="H54" s="18">
        <v>690</v>
      </c>
      <c r="I54" s="17">
        <v>1038</v>
      </c>
      <c r="J54" s="17">
        <v>899</v>
      </c>
      <c r="K54" s="17">
        <v>930</v>
      </c>
      <c r="L54" s="17">
        <v>970</v>
      </c>
      <c r="M54" s="17"/>
    </row>
    <row r="55">
      <c r="A55" s="19"/>
      <c r="B55" s="14" t="s">
        <v>35</v>
      </c>
      <c r="C55" s="14" t="s">
        <v>40</v>
      </c>
      <c r="D55" s="14" t="s">
        <v>17</v>
      </c>
      <c r="E55" s="15">
        <v>200</v>
      </c>
      <c r="F55" s="16">
        <v>5999</v>
      </c>
      <c r="G55" s="17"/>
      <c r="H55" s="18">
        <v>5500</v>
      </c>
      <c r="I55" s="17">
        <v>9596</v>
      </c>
      <c r="J55" s="17">
        <v>6700</v>
      </c>
      <c r="K55" s="17">
        <v>7999</v>
      </c>
      <c r="L55" s="17">
        <v>7999</v>
      </c>
      <c r="M55" s="17"/>
    </row>
    <row r="56">
      <c r="A56" s="19"/>
      <c r="B56" s="14" t="s">
        <v>35</v>
      </c>
      <c r="C56" s="14" t="s">
        <v>41</v>
      </c>
      <c r="D56" s="14" t="s">
        <v>16</v>
      </c>
      <c r="E56" s="15">
        <v>20</v>
      </c>
      <c r="F56" s="16">
        <v>780</v>
      </c>
      <c r="G56" s="17"/>
      <c r="H56" s="18">
        <v>550</v>
      </c>
      <c r="I56" s="17">
        <v>1038</v>
      </c>
      <c r="J56" s="17">
        <v>899</v>
      </c>
      <c r="K56" s="17">
        <v>930</v>
      </c>
      <c r="L56" s="17">
        <v>970</v>
      </c>
      <c r="M56" s="17"/>
    </row>
    <row r="57">
      <c r="A57" s="19"/>
      <c r="B57" s="14" t="s">
        <v>35</v>
      </c>
      <c r="C57" s="14" t="s">
        <v>41</v>
      </c>
      <c r="D57" s="14" t="s">
        <v>17</v>
      </c>
      <c r="E57" s="15">
        <v>200</v>
      </c>
      <c r="F57" s="16">
        <v>5999</v>
      </c>
      <c r="G57" s="17"/>
      <c r="H57" s="18">
        <v>5500</v>
      </c>
      <c r="I57" s="17">
        <v>9596</v>
      </c>
      <c r="J57" s="17">
        <v>6700</v>
      </c>
      <c r="K57" s="17">
        <v>7999</v>
      </c>
      <c r="L57" s="17">
        <v>7999</v>
      </c>
      <c r="M57" s="17"/>
    </row>
    <row r="58">
      <c r="A58" s="19"/>
      <c r="B58" s="14" t="s">
        <v>35</v>
      </c>
      <c r="C58" s="14" t="s">
        <v>42</v>
      </c>
      <c r="D58" s="14" t="s">
        <v>16</v>
      </c>
      <c r="E58" s="15">
        <v>20</v>
      </c>
      <c r="F58" s="16">
        <v>438</v>
      </c>
      <c r="G58" s="17"/>
      <c r="H58" s="18">
        <v>626.4</v>
      </c>
      <c r="I58" s="17">
        <v>626.4</v>
      </c>
      <c r="J58" s="17">
        <v>899</v>
      </c>
      <c r="K58" s="17">
        <v>930</v>
      </c>
      <c r="L58" s="17">
        <v>970</v>
      </c>
      <c r="M58" s="17"/>
    </row>
    <row r="59">
      <c r="A59" s="19"/>
      <c r="B59" s="14" t="s">
        <v>35</v>
      </c>
      <c r="C59" s="14" t="s">
        <v>42</v>
      </c>
      <c r="D59" s="14" t="s">
        <v>17</v>
      </c>
      <c r="E59" s="15">
        <v>200</v>
      </c>
      <c r="F59" s="16">
        <v>3850</v>
      </c>
      <c r="G59" s="17"/>
      <c r="H59" s="18">
        <v>5500</v>
      </c>
      <c r="I59" s="17">
        <v>6020</v>
      </c>
      <c r="J59" s="17">
        <v>6700</v>
      </c>
      <c r="K59" s="17">
        <v>7999</v>
      </c>
      <c r="L59" s="17">
        <v>7999</v>
      </c>
      <c r="M59" s="17"/>
    </row>
    <row r="60">
      <c r="A60" s="19"/>
      <c r="B60" s="14" t="s">
        <v>35</v>
      </c>
      <c r="C60" s="14" t="s">
        <v>43</v>
      </c>
      <c r="D60" s="14" t="s">
        <v>16</v>
      </c>
      <c r="E60" s="15">
        <v>20</v>
      </c>
      <c r="F60" s="16">
        <v>780</v>
      </c>
      <c r="G60" s="17"/>
      <c r="H60" s="18">
        <v>626.4</v>
      </c>
      <c r="I60" s="17">
        <v>626.4</v>
      </c>
      <c r="J60" s="17">
        <v>899</v>
      </c>
      <c r="K60" s="17">
        <v>930</v>
      </c>
      <c r="L60" s="17">
        <v>970</v>
      </c>
      <c r="M60" s="17"/>
    </row>
    <row r="61">
      <c r="A61" s="19"/>
      <c r="B61" s="14" t="s">
        <v>35</v>
      </c>
      <c r="C61" s="14" t="s">
        <v>43</v>
      </c>
      <c r="D61" s="14" t="s">
        <v>17</v>
      </c>
      <c r="E61" s="15">
        <v>200</v>
      </c>
      <c r="F61" s="16">
        <v>5999</v>
      </c>
      <c r="G61" s="17"/>
      <c r="H61" s="18">
        <v>5500</v>
      </c>
      <c r="I61" s="17">
        <v>6020</v>
      </c>
      <c r="J61" s="17">
        <v>6700</v>
      </c>
      <c r="K61" s="17">
        <v>7999</v>
      </c>
      <c r="L61" s="17">
        <v>7999</v>
      </c>
      <c r="M61" s="17"/>
    </row>
    <row r="62">
      <c r="A62" s="13"/>
      <c r="B62" s="14" t="s">
        <v>35</v>
      </c>
      <c r="C62" s="14" t="s">
        <v>44</v>
      </c>
      <c r="D62" s="14" t="s">
        <v>16</v>
      </c>
      <c r="E62" s="15">
        <v>20</v>
      </c>
      <c r="F62" s="16">
        <v>330</v>
      </c>
      <c r="G62" s="17"/>
      <c r="H62" s="17">
        <v>521.6</v>
      </c>
      <c r="I62" s="17">
        <v>521.6</v>
      </c>
      <c r="J62" s="18">
        <v>443.46</v>
      </c>
      <c r="K62" s="17"/>
      <c r="L62" s="17"/>
      <c r="M62" s="17">
        <v>929</v>
      </c>
    </row>
    <row r="63">
      <c r="A63" s="19"/>
      <c r="B63" s="14" t="s">
        <v>35</v>
      </c>
      <c r="C63" s="14" t="s">
        <v>44</v>
      </c>
      <c r="D63" s="14" t="s">
        <v>17</v>
      </c>
      <c r="E63" s="15">
        <v>200</v>
      </c>
      <c r="F63" s="16">
        <v>3200</v>
      </c>
      <c r="G63" s="17"/>
      <c r="H63" s="17">
        <v>5500</v>
      </c>
      <c r="I63" s="17">
        <v>4614</v>
      </c>
      <c r="J63" s="18">
        <v>4518.99</v>
      </c>
      <c r="K63" s="17">
        <v>7999</v>
      </c>
      <c r="L63" s="17">
        <v>7999</v>
      </c>
      <c r="M63" s="17"/>
    </row>
    <row r="64">
      <c r="A64" s="19"/>
      <c r="B64" s="14" t="s">
        <v>35</v>
      </c>
      <c r="C64" s="14" t="s">
        <v>45</v>
      </c>
      <c r="D64" s="14" t="s">
        <v>16</v>
      </c>
      <c r="E64" s="15">
        <v>20</v>
      </c>
      <c r="F64" s="16">
        <v>320</v>
      </c>
      <c r="G64" s="17"/>
      <c r="H64" s="17">
        <v>513.6</v>
      </c>
      <c r="I64" s="17">
        <v>513.6</v>
      </c>
      <c r="J64" s="18">
        <v>453.67</v>
      </c>
      <c r="K64" s="17"/>
      <c r="L64" s="17"/>
      <c r="M64" s="17">
        <v>7895</v>
      </c>
    </row>
    <row r="65">
      <c r="A65" s="19"/>
      <c r="B65" s="14" t="s">
        <v>35</v>
      </c>
      <c r="C65" s="14" t="s">
        <v>45</v>
      </c>
      <c r="D65" s="14" t="s">
        <v>17</v>
      </c>
      <c r="E65" s="15">
        <v>200</v>
      </c>
      <c r="F65" s="16">
        <v>3330</v>
      </c>
      <c r="G65" s="17"/>
      <c r="H65" s="17">
        <v>5080</v>
      </c>
      <c r="I65" s="17">
        <v>5080</v>
      </c>
      <c r="J65" s="18">
        <v>4625.72</v>
      </c>
      <c r="K65" s="17">
        <v>7999</v>
      </c>
      <c r="L65" s="17">
        <v>8999</v>
      </c>
      <c r="M65" s="17"/>
    </row>
    <row r="66">
      <c r="A66" s="19"/>
      <c r="B66" s="14" t="s">
        <v>35</v>
      </c>
      <c r="C66" s="14" t="s">
        <v>46</v>
      </c>
      <c r="D66" s="14" t="s">
        <v>16</v>
      </c>
      <c r="E66" s="15">
        <v>20</v>
      </c>
      <c r="F66" s="16">
        <v>490</v>
      </c>
      <c r="G66" s="17"/>
      <c r="H66" s="18">
        <v>690</v>
      </c>
      <c r="I66" s="17"/>
      <c r="J66" s="17">
        <v>930</v>
      </c>
      <c r="K66" s="17">
        <v>930</v>
      </c>
      <c r="L66" s="17">
        <v>1100</v>
      </c>
      <c r="M66" s="17"/>
    </row>
    <row r="67">
      <c r="A67" s="19"/>
      <c r="B67" s="14" t="s">
        <v>35</v>
      </c>
      <c r="C67" s="14" t="s">
        <v>46</v>
      </c>
      <c r="D67" s="14" t="s">
        <v>17</v>
      </c>
      <c r="E67" s="15">
        <v>200</v>
      </c>
      <c r="F67" s="16">
        <v>3850</v>
      </c>
      <c r="G67" s="17"/>
      <c r="H67" s="18">
        <v>5500</v>
      </c>
      <c r="I67" s="17"/>
      <c r="J67" s="17">
        <v>8200</v>
      </c>
      <c r="K67" s="17">
        <v>7999</v>
      </c>
      <c r="L67" s="17">
        <v>9200</v>
      </c>
      <c r="M67" s="17"/>
    </row>
    <row r="68">
      <c r="A68" s="19"/>
      <c r="B68" s="14" t="s">
        <v>35</v>
      </c>
      <c r="C68" s="14" t="s">
        <v>47</v>
      </c>
      <c r="D68" s="14" t="s">
        <v>16</v>
      </c>
      <c r="E68" s="15">
        <v>20</v>
      </c>
      <c r="F68" s="16">
        <v>799</v>
      </c>
      <c r="G68" s="17"/>
      <c r="H68" s="17">
        <v>470</v>
      </c>
      <c r="I68" s="17">
        <v>470</v>
      </c>
      <c r="J68" s="18">
        <v>425.18</v>
      </c>
      <c r="K68" s="17">
        <v>930</v>
      </c>
      <c r="L68" s="17">
        <v>1100</v>
      </c>
      <c r="M68" s="17">
        <v>7036</v>
      </c>
    </row>
    <row r="69">
      <c r="A69" s="19"/>
      <c r="B69" s="14" t="s">
        <v>35</v>
      </c>
      <c r="C69" s="14" t="s">
        <v>47</v>
      </c>
      <c r="D69" s="14" t="s">
        <v>17</v>
      </c>
      <c r="E69" s="15">
        <v>200</v>
      </c>
      <c r="F69" s="16">
        <v>5999</v>
      </c>
      <c r="G69" s="17"/>
      <c r="H69" s="17">
        <v>4620</v>
      </c>
      <c r="I69" s="17">
        <v>4620</v>
      </c>
      <c r="J69" s="18">
        <v>4294.31</v>
      </c>
      <c r="K69" s="17">
        <v>7999</v>
      </c>
      <c r="L69" s="17">
        <v>9200</v>
      </c>
      <c r="M69" s="17"/>
    </row>
    <row r="70">
      <c r="A70" s="13"/>
      <c r="B70" s="14" t="s">
        <v>48</v>
      </c>
      <c r="C70" s="14" t="s">
        <v>49</v>
      </c>
      <c r="D70" s="14" t="s">
        <v>16</v>
      </c>
      <c r="E70" s="15">
        <v>20</v>
      </c>
      <c r="F70" s="16">
        <v>399</v>
      </c>
      <c r="G70" s="17"/>
      <c r="H70" s="18">
        <v>386.2</v>
      </c>
      <c r="I70" s="17">
        <v>386.2</v>
      </c>
      <c r="J70" s="17">
        <v>810</v>
      </c>
      <c r="K70" s="17">
        <v>599</v>
      </c>
      <c r="L70" s="17">
        <v>899</v>
      </c>
      <c r="M70" s="17"/>
    </row>
    <row r="71">
      <c r="A71" s="13"/>
      <c r="B71" s="14" t="s">
        <v>48</v>
      </c>
      <c r="C71" s="14" t="s">
        <v>49</v>
      </c>
      <c r="D71" s="14" t="s">
        <v>17</v>
      </c>
      <c r="E71" s="15">
        <v>200</v>
      </c>
      <c r="F71" s="16">
        <v>2300</v>
      </c>
      <c r="G71" s="17"/>
      <c r="H71" s="18">
        <v>3100</v>
      </c>
      <c r="I71" s="17">
        <v>3570</v>
      </c>
      <c r="J71" s="17">
        <v>8200</v>
      </c>
      <c r="K71" s="17">
        <v>4200</v>
      </c>
      <c r="L71" s="17">
        <v>8999</v>
      </c>
      <c r="M71" s="17"/>
    </row>
    <row r="72">
      <c r="A72" s="13"/>
      <c r="B72" s="14" t="s">
        <v>48</v>
      </c>
      <c r="C72" s="14" t="s">
        <v>49</v>
      </c>
      <c r="D72" s="14" t="s">
        <v>18</v>
      </c>
      <c r="E72" s="15">
        <v>1000</v>
      </c>
      <c r="F72" s="16">
        <v>12000</v>
      </c>
      <c r="G72" s="17"/>
      <c r="H72" s="18">
        <v>15900</v>
      </c>
      <c r="I72" s="17">
        <v>18541.11</v>
      </c>
      <c r="J72" s="17">
        <v>25000</v>
      </c>
      <c r="K72" s="17">
        <v>23000</v>
      </c>
      <c r="L72" s="17">
        <v>27900</v>
      </c>
      <c r="M72" s="17">
        <v>19017</v>
      </c>
    </row>
    <row r="73">
      <c r="A73" s="19"/>
      <c r="B73" s="14" t="s">
        <v>48</v>
      </c>
      <c r="C73" s="14" t="s">
        <v>50</v>
      </c>
      <c r="D73" s="14" t="s">
        <v>16</v>
      </c>
      <c r="E73" s="15">
        <v>20</v>
      </c>
      <c r="F73" s="16">
        <v>399</v>
      </c>
      <c r="G73" s="17"/>
      <c r="H73" s="18">
        <v>386.2</v>
      </c>
      <c r="I73" s="17">
        <v>386.2</v>
      </c>
      <c r="J73" s="17">
        <v>810</v>
      </c>
      <c r="K73" s="17">
        <v>930</v>
      </c>
      <c r="L73" s="17">
        <v>899</v>
      </c>
      <c r="M73" s="17"/>
    </row>
    <row r="74">
      <c r="A74" s="19"/>
      <c r="B74" s="14" t="s">
        <v>48</v>
      </c>
      <c r="C74" s="14" t="s">
        <v>50</v>
      </c>
      <c r="D74" s="14" t="s">
        <v>17</v>
      </c>
      <c r="E74" s="15">
        <v>200</v>
      </c>
      <c r="F74" s="16">
        <v>3490</v>
      </c>
      <c r="G74" s="17"/>
      <c r="H74" s="18">
        <v>2900</v>
      </c>
      <c r="I74" s="17">
        <v>3580</v>
      </c>
      <c r="J74" s="17">
        <v>3800</v>
      </c>
      <c r="K74" s="17">
        <v>7999</v>
      </c>
      <c r="L74" s="17">
        <v>8999</v>
      </c>
      <c r="M74" s="17">
        <v>3943</v>
      </c>
    </row>
    <row r="75">
      <c r="A75" s="19"/>
      <c r="B75" s="14" t="s">
        <v>48</v>
      </c>
      <c r="C75" s="14" t="s">
        <v>50</v>
      </c>
      <c r="D75" s="14" t="s">
        <v>18</v>
      </c>
      <c r="E75" s="15">
        <v>1000</v>
      </c>
      <c r="F75" s="16">
        <v>16300</v>
      </c>
      <c r="G75" s="17"/>
      <c r="H75" s="18">
        <v>15900</v>
      </c>
      <c r="I75" s="17">
        <v>19835.39</v>
      </c>
      <c r="J75" s="17">
        <v>17720</v>
      </c>
      <c r="K75" s="17">
        <v>19800</v>
      </c>
      <c r="L75" s="17">
        <v>27900</v>
      </c>
      <c r="M75" s="17"/>
    </row>
    <row r="76">
      <c r="A76" s="19"/>
      <c r="B76" s="14" t="s">
        <v>48</v>
      </c>
      <c r="C76" s="14" t="s">
        <v>51</v>
      </c>
      <c r="D76" s="14" t="s">
        <v>16</v>
      </c>
      <c r="E76" s="15">
        <v>20</v>
      </c>
      <c r="F76" s="16">
        <v>290</v>
      </c>
      <c r="G76" s="17"/>
      <c r="H76" s="18">
        <v>390</v>
      </c>
      <c r="I76" s="17">
        <v>390</v>
      </c>
      <c r="J76" s="17"/>
      <c r="K76" s="17"/>
      <c r="L76" s="17"/>
      <c r="M76" s="17"/>
    </row>
    <row r="77">
      <c r="A77" s="19"/>
      <c r="B77" s="14" t="s">
        <v>48</v>
      </c>
      <c r="C77" s="14" t="s">
        <v>51</v>
      </c>
      <c r="D77" s="14" t="s">
        <v>17</v>
      </c>
      <c r="E77" s="15">
        <v>200</v>
      </c>
      <c r="F77" s="16">
        <v>2600</v>
      </c>
      <c r="G77" s="17"/>
      <c r="H77" s="18">
        <v>3676</v>
      </c>
      <c r="I77" s="17">
        <v>3676</v>
      </c>
      <c r="J77" s="17">
        <v>3926.39</v>
      </c>
      <c r="K77" s="17">
        <v>7999</v>
      </c>
      <c r="L77" s="17">
        <v>5800</v>
      </c>
      <c r="M77" s="17">
        <v>3545</v>
      </c>
    </row>
    <row r="78">
      <c r="A78" s="19"/>
      <c r="B78" s="14" t="s">
        <v>48</v>
      </c>
      <c r="C78" s="14" t="s">
        <v>52</v>
      </c>
      <c r="D78" s="14" t="s">
        <v>16</v>
      </c>
      <c r="E78" s="15">
        <v>20</v>
      </c>
      <c r="F78" s="16">
        <v>257</v>
      </c>
      <c r="G78" s="17"/>
      <c r="H78" s="18">
        <v>366</v>
      </c>
      <c r="I78" s="17">
        <v>366</v>
      </c>
      <c r="J78" s="17">
        <v>379.49</v>
      </c>
      <c r="K78" s="17"/>
      <c r="L78" s="17"/>
      <c r="M78" s="17">
        <v>626</v>
      </c>
    </row>
    <row r="79">
      <c r="A79" s="19"/>
      <c r="B79" s="14" t="s">
        <v>48</v>
      </c>
      <c r="C79" s="14" t="s">
        <v>52</v>
      </c>
      <c r="D79" s="14" t="s">
        <v>17</v>
      </c>
      <c r="E79" s="15">
        <v>200</v>
      </c>
      <c r="F79" s="16">
        <v>2600</v>
      </c>
      <c r="G79" s="17"/>
      <c r="H79" s="18">
        <v>3580</v>
      </c>
      <c r="I79" s="17">
        <v>3580</v>
      </c>
      <c r="J79" s="17">
        <v>3853.36</v>
      </c>
      <c r="K79" s="17">
        <v>7999</v>
      </c>
      <c r="L79" s="17">
        <v>5200</v>
      </c>
      <c r="M79" s="17"/>
    </row>
    <row r="80">
      <c r="A80" s="19"/>
      <c r="B80" s="14" t="s">
        <v>48</v>
      </c>
      <c r="C80" s="14" t="s">
        <v>53</v>
      </c>
      <c r="D80" s="14" t="s">
        <v>16</v>
      </c>
      <c r="E80" s="15">
        <v>20</v>
      </c>
      <c r="F80" s="16">
        <v>350</v>
      </c>
      <c r="G80" s="17"/>
      <c r="H80" s="18">
        <v>446</v>
      </c>
      <c r="I80" s="17">
        <v>446</v>
      </c>
      <c r="J80" s="17">
        <v>930</v>
      </c>
      <c r="K80" s="17">
        <v>930</v>
      </c>
      <c r="L80" s="17">
        <v>1100</v>
      </c>
      <c r="M80" s="17">
        <v>1024</v>
      </c>
    </row>
    <row r="81">
      <c r="A81" s="19"/>
      <c r="B81" s="14" t="s">
        <v>48</v>
      </c>
      <c r="C81" s="14" t="s">
        <v>53</v>
      </c>
      <c r="D81" s="14" t="s">
        <v>17</v>
      </c>
      <c r="E81" s="15">
        <v>200</v>
      </c>
      <c r="F81" s="16">
        <v>3000</v>
      </c>
      <c r="G81" s="17"/>
      <c r="H81" s="18">
        <v>4244</v>
      </c>
      <c r="I81" s="17">
        <v>4244</v>
      </c>
      <c r="J81" s="17">
        <v>8200</v>
      </c>
      <c r="K81" s="17">
        <v>7999</v>
      </c>
      <c r="L81" s="17">
        <v>9200</v>
      </c>
      <c r="M81" s="17"/>
    </row>
    <row r="82" s="1" customFormat="1">
      <c r="A82" s="13"/>
      <c r="B82" s="20" t="s">
        <v>48</v>
      </c>
      <c r="C82" s="20" t="s">
        <v>54</v>
      </c>
      <c r="D82" s="20" t="s">
        <v>16</v>
      </c>
      <c r="E82" s="21">
        <v>20</v>
      </c>
      <c r="F82" s="16">
        <v>320</v>
      </c>
      <c r="G82" s="22"/>
      <c r="H82" s="22"/>
      <c r="I82" s="22"/>
      <c r="J82" s="22"/>
      <c r="K82" s="22"/>
      <c r="L82" s="22"/>
      <c r="M82" s="22"/>
    </row>
    <row r="83" s="1" customFormat="1">
      <c r="A83" s="13"/>
      <c r="B83" s="20" t="s">
        <v>48</v>
      </c>
      <c r="C83" s="20" t="s">
        <v>54</v>
      </c>
      <c r="D83" s="20" t="s">
        <v>17</v>
      </c>
      <c r="E83" s="21">
        <v>200</v>
      </c>
      <c r="F83" s="16">
        <v>3300</v>
      </c>
      <c r="G83" s="22"/>
      <c r="H83" s="18">
        <v>3500</v>
      </c>
      <c r="I83" s="22">
        <v>4000</v>
      </c>
      <c r="J83" s="22">
        <v>4400</v>
      </c>
      <c r="K83" s="22">
        <v>3700</v>
      </c>
      <c r="L83" s="22"/>
      <c r="M83" s="22"/>
    </row>
    <row r="84">
      <c r="B84" s="14" t="s">
        <v>14</v>
      </c>
      <c r="C84" s="14" t="s">
        <v>55</v>
      </c>
      <c r="D84" s="14" t="s">
        <v>16</v>
      </c>
      <c r="E84" s="15">
        <v>20</v>
      </c>
      <c r="F84" s="16">
        <v>450</v>
      </c>
      <c r="G84" s="17"/>
      <c r="H84" s="23"/>
      <c r="I84" s="23"/>
      <c r="J84" s="17">
        <v>470</v>
      </c>
      <c r="K84" s="23"/>
      <c r="L84" s="23"/>
      <c r="M84" s="23"/>
    </row>
    <row r="85">
      <c r="B85" s="14" t="s">
        <v>14</v>
      </c>
      <c r="C85" s="14" t="s">
        <v>55</v>
      </c>
      <c r="D85" s="14" t="s">
        <v>17</v>
      </c>
      <c r="E85" s="15">
        <v>200</v>
      </c>
      <c r="F85" s="16">
        <v>4300</v>
      </c>
      <c r="G85" s="17"/>
      <c r="H85" s="23"/>
      <c r="I85" s="23"/>
      <c r="J85" s="17">
        <v>4500</v>
      </c>
      <c r="K85" s="23"/>
      <c r="L85" s="23"/>
      <c r="M85" s="23"/>
    </row>
    <row r="86">
      <c r="B86" s="14" t="s">
        <v>14</v>
      </c>
      <c r="C86" s="14" t="s">
        <v>56</v>
      </c>
      <c r="D86" s="14" t="s">
        <v>16</v>
      </c>
      <c r="E86" s="15">
        <v>20</v>
      </c>
      <c r="F86" s="16">
        <v>370</v>
      </c>
      <c r="G86" s="17"/>
      <c r="H86" s="23"/>
      <c r="I86" s="23"/>
      <c r="J86" s="17">
        <v>440</v>
      </c>
      <c r="K86" s="23"/>
      <c r="L86" s="23"/>
      <c r="M86" s="23"/>
    </row>
    <row r="87">
      <c r="B87" s="14" t="s">
        <v>14</v>
      </c>
      <c r="C87" s="14" t="s">
        <v>56</v>
      </c>
      <c r="D87" s="14" t="s">
        <v>17</v>
      </c>
      <c r="E87" s="15">
        <v>200</v>
      </c>
      <c r="F87" s="16">
        <v>3700</v>
      </c>
      <c r="G87" s="17"/>
      <c r="H87" s="23"/>
      <c r="I87" s="23"/>
      <c r="J87" s="17">
        <v>4318</v>
      </c>
      <c r="K87" s="23"/>
      <c r="L87" s="23"/>
      <c r="M87" s="23"/>
    </row>
    <row r="88">
      <c r="B88" s="14" t="s">
        <v>14</v>
      </c>
      <c r="C88" s="14" t="s">
        <v>56</v>
      </c>
      <c r="D88" s="14" t="s">
        <v>18</v>
      </c>
      <c r="E88" s="15">
        <v>1000</v>
      </c>
      <c r="F88" s="16">
        <v>18500</v>
      </c>
      <c r="G88" s="17"/>
      <c r="H88" s="23"/>
      <c r="I88" s="23"/>
      <c r="J88" s="17">
        <v>20350</v>
      </c>
      <c r="K88" s="23"/>
      <c r="L88" s="23"/>
      <c r="M88" s="23"/>
    </row>
    <row r="89">
      <c r="B89" s="24" t="s">
        <v>57</v>
      </c>
      <c r="C89" s="14" t="s">
        <v>58</v>
      </c>
      <c r="D89" s="14" t="s">
        <v>59</v>
      </c>
      <c r="E89" s="15">
        <v>20</v>
      </c>
      <c r="F89" s="25">
        <v>330</v>
      </c>
      <c r="G89" s="23"/>
      <c r="H89" s="23"/>
      <c r="I89" s="23"/>
      <c r="J89" s="23"/>
      <c r="K89" s="23"/>
      <c r="L89" s="23"/>
      <c r="M89" s="23"/>
    </row>
    <row r="90">
      <c r="B90" s="24" t="s">
        <v>57</v>
      </c>
      <c r="C90" s="14" t="s">
        <v>58</v>
      </c>
      <c r="D90" s="14" t="s">
        <v>59</v>
      </c>
      <c r="E90" s="15">
        <v>200</v>
      </c>
      <c r="F90" s="25">
        <v>3500</v>
      </c>
      <c r="G90" s="23"/>
      <c r="H90" s="23"/>
      <c r="I90" s="23"/>
      <c r="J90" s="23"/>
      <c r="K90" s="23"/>
      <c r="L90" s="23"/>
      <c r="M90" s="23"/>
    </row>
    <row r="91">
      <c r="B91" s="24" t="s">
        <v>57</v>
      </c>
      <c r="C91" s="14" t="s">
        <v>58</v>
      </c>
      <c r="D91" s="14" t="s">
        <v>18</v>
      </c>
      <c r="E91" s="15">
        <v>1000</v>
      </c>
      <c r="F91" s="25" t="s">
        <v>60</v>
      </c>
      <c r="G91" s="23"/>
      <c r="H91" s="23"/>
      <c r="I91" s="23"/>
      <c r="J91" s="23"/>
      <c r="K91" s="23"/>
      <c r="L91" s="23"/>
      <c r="M91" s="23"/>
    </row>
    <row r="92">
      <c r="B92" s="24" t="s">
        <v>57</v>
      </c>
      <c r="C92" s="14" t="s">
        <v>58</v>
      </c>
      <c r="D92" s="14" t="s">
        <v>61</v>
      </c>
      <c r="E92" s="26">
        <v>10000</v>
      </c>
      <c r="F92" s="25" t="s">
        <v>60</v>
      </c>
      <c r="G92" s="27"/>
      <c r="H92" s="27"/>
      <c r="I92" s="27"/>
      <c r="J92" s="27"/>
      <c r="K92" s="27"/>
      <c r="L92" s="27"/>
      <c r="M92" s="27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>
            <xm:f>#REF!="Sim"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F6:G88</xm:sqref>
        </x14:conditionalFormatting>
        <x14:conditionalFormatting xmlns:xm="http://schemas.microsoft.com/office/excel/2006/main">
          <x14:cfRule type="expression" priority="2">
            <xm:f>#REF!="Não"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F6:G88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TEXSA</dc:creator>
  <cp:revision>1</cp:revision>
  <dcterms:created xsi:type="dcterms:W3CDTF">2026-10-20T16:29:23Z</dcterms:created>
  <dcterms:modified xsi:type="dcterms:W3CDTF">2026-10-21T11:25:12Z</dcterms:modified>
</cp:coreProperties>
</file>